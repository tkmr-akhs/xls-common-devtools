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osun\source\repos\bfw_tools\tool\"/>
    </mc:Choice>
  </mc:AlternateContent>
  <xr:revisionPtr revIDLastSave="0" documentId="13_ncr:1_{376325DA-3505-4895-BCE0-028AAD4546E5}" xr6:coauthVersionLast="47" xr6:coauthVersionMax="47" xr10:uidLastSave="{00000000-0000-0000-0000-000000000000}"/>
  <bookViews>
    <workbookView xWindow="34500" yWindow="4935" windowWidth="21600" windowHeight="112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1" l="1"/>
  <c r="D18" i="1" s="1"/>
  <c r="H18" i="1" s="1"/>
  <c r="B18" i="1"/>
  <c r="I18" i="1" s="1"/>
  <c r="I17" i="1"/>
  <c r="H17" i="1"/>
  <c r="D17" i="1"/>
  <c r="C17" i="1"/>
  <c r="B17" i="1"/>
  <c r="E17" i="1" s="1"/>
  <c r="D16" i="1"/>
  <c r="H16" i="1" s="1"/>
  <c r="C16" i="1"/>
  <c r="B16" i="1"/>
  <c r="I16" i="1" s="1"/>
  <c r="C15" i="1"/>
  <c r="D15" i="1" s="1"/>
  <c r="H15" i="1" s="1"/>
  <c r="B15" i="1"/>
  <c r="I15" i="1" s="1"/>
  <c r="C14" i="1"/>
  <c r="D14" i="1" s="1"/>
  <c r="H14" i="1" s="1"/>
  <c r="B14" i="1"/>
  <c r="I14" i="1" s="1"/>
  <c r="I13" i="1"/>
  <c r="H13" i="1"/>
  <c r="D13" i="1"/>
  <c r="C13" i="1"/>
  <c r="B13" i="1"/>
  <c r="E13" i="1" s="1"/>
  <c r="D12" i="1"/>
  <c r="H12" i="1" s="1"/>
  <c r="C12" i="1"/>
  <c r="B12" i="1"/>
  <c r="I12" i="1" s="1"/>
  <c r="C11" i="1"/>
  <c r="D11" i="1" s="1"/>
  <c r="H11" i="1" s="1"/>
  <c r="B11" i="1"/>
  <c r="I11" i="1" s="1"/>
  <c r="C10" i="1"/>
  <c r="D10" i="1" s="1"/>
  <c r="H10" i="1" s="1"/>
  <c r="B10" i="1"/>
  <c r="I10" i="1" s="1"/>
  <c r="I9" i="1"/>
  <c r="H9" i="1"/>
  <c r="D9" i="1"/>
  <c r="C9" i="1"/>
  <c r="B9" i="1"/>
  <c r="E9" i="1" s="1"/>
  <c r="D8" i="1"/>
  <c r="H8" i="1" s="1"/>
  <c r="C8" i="1"/>
  <c r="B8" i="1"/>
  <c r="I8" i="1" s="1"/>
  <c r="C7" i="1"/>
  <c r="D7" i="1" s="1"/>
  <c r="H7" i="1" s="1"/>
  <c r="B7" i="1"/>
  <c r="I7" i="1" s="1"/>
  <c r="C6" i="1"/>
  <c r="D6" i="1" s="1"/>
  <c r="H6" i="1" s="1"/>
  <c r="B6" i="1"/>
  <c r="I6" i="1" s="1"/>
  <c r="I5" i="1"/>
  <c r="H5" i="1"/>
  <c r="D5" i="1"/>
  <c r="C5" i="1"/>
  <c r="E5" i="1" s="1"/>
  <c r="B5" i="1"/>
  <c r="D4" i="1"/>
  <c r="H4" i="1" s="1"/>
  <c r="C4" i="1"/>
  <c r="B4" i="1"/>
  <c r="I4" i="1" s="1"/>
  <c r="C3" i="1"/>
  <c r="D3" i="1" s="1"/>
  <c r="H3" i="1" s="1"/>
  <c r="B3" i="1"/>
  <c r="I3" i="1" s="1"/>
  <c r="B62" i="1"/>
  <c r="C62" i="1"/>
  <c r="D62" i="1" s="1"/>
  <c r="H62" i="1" s="1"/>
  <c r="B56" i="1"/>
  <c r="I56" i="1" s="1"/>
  <c r="C56" i="1"/>
  <c r="D56" i="1" s="1"/>
  <c r="H56" i="1" s="1"/>
  <c r="B57" i="1"/>
  <c r="C57" i="1"/>
  <c r="D57" i="1" s="1"/>
  <c r="H57" i="1" s="1"/>
  <c r="B58" i="1"/>
  <c r="C58" i="1"/>
  <c r="D58" i="1"/>
  <c r="H58" i="1" s="1"/>
  <c r="B59" i="1"/>
  <c r="I59" i="1" s="1"/>
  <c r="C59" i="1"/>
  <c r="D59" i="1" s="1"/>
  <c r="H59" i="1" s="1"/>
  <c r="B60" i="1"/>
  <c r="C60" i="1"/>
  <c r="D60" i="1" s="1"/>
  <c r="H60" i="1" s="1"/>
  <c r="B61" i="1"/>
  <c r="C61" i="1"/>
  <c r="D61" i="1" s="1"/>
  <c r="H61" i="1" s="1"/>
  <c r="B51" i="1"/>
  <c r="E4" i="1" l="1"/>
  <c r="E16" i="1"/>
  <c r="E8" i="1"/>
  <c r="E12" i="1"/>
  <c r="E3" i="1"/>
  <c r="E7" i="1"/>
  <c r="E11" i="1"/>
  <c r="E15" i="1"/>
  <c r="E6" i="1"/>
  <c r="E10" i="1"/>
  <c r="E14" i="1"/>
  <c r="E18" i="1"/>
  <c r="I58" i="1"/>
  <c r="E62" i="1"/>
  <c r="I62" i="1"/>
  <c r="E61" i="1"/>
  <c r="E60" i="1"/>
  <c r="E57" i="1"/>
  <c r="E56" i="1"/>
  <c r="E59" i="1"/>
  <c r="I60" i="1"/>
  <c r="I61" i="1"/>
  <c r="I57" i="1"/>
  <c r="E58" i="1"/>
  <c r="C55" i="1"/>
  <c r="D55" i="1" s="1"/>
  <c r="H55" i="1" s="1"/>
  <c r="B55" i="1"/>
  <c r="I55" i="1" s="1"/>
  <c r="C54" i="1"/>
  <c r="D54" i="1" s="1"/>
  <c r="B54" i="1"/>
  <c r="I54" i="1" s="1"/>
  <c r="C53" i="1"/>
  <c r="D53" i="1" s="1"/>
  <c r="B53" i="1"/>
  <c r="I53" i="1" s="1"/>
  <c r="C52" i="1"/>
  <c r="D52" i="1" s="1"/>
  <c r="H52" i="1" s="1"/>
  <c r="B52" i="1"/>
  <c r="C51" i="1"/>
  <c r="D51" i="1" s="1"/>
  <c r="H51" i="1" s="1"/>
  <c r="C50" i="1"/>
  <c r="D50" i="1" s="1"/>
  <c r="B50" i="1"/>
  <c r="I50" i="1" s="1"/>
  <c r="C49" i="1"/>
  <c r="D49" i="1" s="1"/>
  <c r="B49" i="1"/>
  <c r="C48" i="1"/>
  <c r="D48" i="1" s="1"/>
  <c r="H48" i="1" s="1"/>
  <c r="B48" i="1"/>
  <c r="C47" i="1"/>
  <c r="D47" i="1" s="1"/>
  <c r="B47" i="1"/>
  <c r="I47" i="1" s="1"/>
  <c r="C46" i="1"/>
  <c r="D46" i="1" s="1"/>
  <c r="B46" i="1"/>
  <c r="C45" i="1"/>
  <c r="D45" i="1" s="1"/>
  <c r="H45" i="1" s="1"/>
  <c r="B45" i="1"/>
  <c r="C44" i="1"/>
  <c r="D44" i="1" s="1"/>
  <c r="H44" i="1" s="1"/>
  <c r="B44" i="1"/>
  <c r="C43" i="1"/>
  <c r="D43" i="1" s="1"/>
  <c r="B43" i="1"/>
  <c r="I43" i="1" s="1"/>
  <c r="C42" i="1"/>
  <c r="D42" i="1" s="1"/>
  <c r="B42" i="1"/>
  <c r="I42" i="1" s="1"/>
  <c r="C41" i="1"/>
  <c r="D41" i="1" s="1"/>
  <c r="H41" i="1" s="1"/>
  <c r="B41" i="1"/>
  <c r="C40" i="1"/>
  <c r="D40" i="1" s="1"/>
  <c r="H40" i="1" s="1"/>
  <c r="B40" i="1"/>
  <c r="C39" i="1"/>
  <c r="D39" i="1" s="1"/>
  <c r="B39" i="1"/>
  <c r="C38" i="1"/>
  <c r="D38" i="1" s="1"/>
  <c r="B38" i="1"/>
  <c r="C37" i="1"/>
  <c r="D37" i="1" s="1"/>
  <c r="H37" i="1" s="1"/>
  <c r="B37" i="1"/>
  <c r="C36" i="1"/>
  <c r="D36" i="1" s="1"/>
  <c r="H36" i="1" s="1"/>
  <c r="B36" i="1"/>
  <c r="C35" i="1"/>
  <c r="D35" i="1" s="1"/>
  <c r="B35" i="1"/>
  <c r="C34" i="1"/>
  <c r="D34" i="1" s="1"/>
  <c r="B34" i="1"/>
  <c r="C33" i="1"/>
  <c r="D33" i="1" s="1"/>
  <c r="H33" i="1" s="1"/>
  <c r="B33" i="1"/>
  <c r="B19" i="1"/>
  <c r="C19" i="1"/>
  <c r="D19" i="1" s="1"/>
  <c r="B20" i="1"/>
  <c r="I20" i="1" s="1"/>
  <c r="C20" i="1"/>
  <c r="D20" i="1" s="1"/>
  <c r="B21" i="1"/>
  <c r="I21" i="1" s="1"/>
  <c r="C21" i="1"/>
  <c r="D21" i="1" s="1"/>
  <c r="B22" i="1"/>
  <c r="C22" i="1"/>
  <c r="D22" i="1" s="1"/>
  <c r="B23" i="1"/>
  <c r="C23" i="1"/>
  <c r="D23" i="1" s="1"/>
  <c r="B24" i="1"/>
  <c r="C24" i="1"/>
  <c r="D24" i="1" s="1"/>
  <c r="B25" i="1"/>
  <c r="C25" i="1"/>
  <c r="D25" i="1" s="1"/>
  <c r="B26" i="1"/>
  <c r="I26" i="1" s="1"/>
  <c r="C26" i="1"/>
  <c r="D26" i="1" s="1"/>
  <c r="B27" i="1"/>
  <c r="C27" i="1"/>
  <c r="D27" i="1" s="1"/>
  <c r="B28" i="1"/>
  <c r="C28" i="1"/>
  <c r="D28" i="1" s="1"/>
  <c r="H28" i="1" s="1"/>
  <c r="B29" i="1"/>
  <c r="C29" i="1"/>
  <c r="D29" i="1" s="1"/>
  <c r="B30" i="1"/>
  <c r="C30" i="1"/>
  <c r="D30" i="1" s="1"/>
  <c r="B31" i="1"/>
  <c r="C31" i="1"/>
  <c r="D31" i="1" s="1"/>
  <c r="B32" i="1"/>
  <c r="C32" i="1"/>
  <c r="D32" i="1" s="1"/>
  <c r="H32" i="1" s="1"/>
  <c r="C2" i="1"/>
  <c r="D2" i="1" s="1"/>
  <c r="H2" i="1" s="1"/>
  <c r="B2" i="1"/>
  <c r="I27" i="1" l="1"/>
  <c r="I23" i="1"/>
  <c r="I19" i="1"/>
  <c r="H35" i="1"/>
  <c r="H39" i="1"/>
  <c r="H43" i="1"/>
  <c r="H29" i="1"/>
  <c r="I52" i="1"/>
  <c r="H30" i="1"/>
  <c r="H49" i="1"/>
  <c r="H20" i="1"/>
  <c r="I46" i="1"/>
  <c r="H22" i="1"/>
  <c r="H25" i="1"/>
  <c r="H21" i="1"/>
  <c r="I34" i="1"/>
  <c r="I38" i="1"/>
  <c r="I24" i="1"/>
  <c r="H19" i="1"/>
  <c r="I33" i="1"/>
  <c r="I37" i="1"/>
  <c r="I41" i="1"/>
  <c r="I45" i="1"/>
  <c r="I49" i="1"/>
  <c r="H53" i="1"/>
  <c r="H54" i="1"/>
  <c r="H34" i="1"/>
  <c r="H38" i="1"/>
  <c r="H42" i="1"/>
  <c r="H46" i="1"/>
  <c r="H50" i="1"/>
  <c r="I31" i="1"/>
  <c r="I35" i="1"/>
  <c r="I39" i="1"/>
  <c r="I28" i="1"/>
  <c r="H47" i="1"/>
  <c r="I51" i="1"/>
  <c r="I36" i="1"/>
  <c r="I40" i="1"/>
  <c r="I44" i="1"/>
  <c r="I48" i="1"/>
  <c r="H31" i="1"/>
  <c r="H24" i="1"/>
  <c r="I25" i="1"/>
  <c r="H27" i="1"/>
  <c r="H23" i="1"/>
  <c r="I29" i="1"/>
  <c r="I32" i="1"/>
  <c r="E22" i="1"/>
  <c r="I22" i="1"/>
  <c r="I2" i="1"/>
  <c r="I30" i="1"/>
  <c r="H26" i="1"/>
  <c r="E27" i="1"/>
  <c r="E36" i="1"/>
  <c r="E40" i="1"/>
  <c r="E44" i="1"/>
  <c r="E48" i="1"/>
  <c r="E52" i="1"/>
  <c r="E33" i="1"/>
  <c r="E37" i="1"/>
  <c r="E41" i="1"/>
  <c r="E45" i="1"/>
  <c r="E49" i="1"/>
  <c r="E53" i="1"/>
  <c r="E34" i="1"/>
  <c r="E38" i="1"/>
  <c r="E42" i="1"/>
  <c r="E46" i="1"/>
  <c r="E50" i="1"/>
  <c r="E54" i="1"/>
  <c r="E35" i="1"/>
  <c r="E39" i="1"/>
  <c r="E43" i="1"/>
  <c r="E47" i="1"/>
  <c r="E51" i="1"/>
  <c r="E55" i="1"/>
  <c r="E29" i="1"/>
  <c r="E24" i="1"/>
  <c r="E28" i="1"/>
  <c r="E2" i="1"/>
  <c r="E21" i="1"/>
  <c r="E30" i="1"/>
  <c r="E23" i="1"/>
  <c r="E20" i="1"/>
  <c r="E32" i="1"/>
  <c r="E19" i="1"/>
  <c r="E26" i="1"/>
  <c r="E25" i="1"/>
  <c r="E31" i="1"/>
</calcChain>
</file>

<file path=xl/sharedStrings.xml><?xml version="1.0" encoding="utf-8"?>
<sst xmlns="http://schemas.openxmlformats.org/spreadsheetml/2006/main" count="64" uniqueCount="49">
  <si>
    <t>プライベート フィールド</t>
    <phoneticPr fontId="1"/>
  </si>
  <si>
    <t>プロパティ名</t>
    <rPh sb="5" eb="6">
      <t>メイ</t>
    </rPh>
    <phoneticPr fontId="1"/>
  </si>
  <si>
    <t>型</t>
    <rPh sb="0" eb="1">
      <t>カタ</t>
    </rPh>
    <phoneticPr fontId="1"/>
  </si>
  <si>
    <t>オブジェクト</t>
    <phoneticPr fontId="1"/>
  </si>
  <si>
    <t>読み取り専用</t>
    <rPh sb="0" eb="1">
      <t>ヨ</t>
    </rPh>
    <rPh sb="2" eb="3">
      <t>ト</t>
    </rPh>
    <rPh sb="4" eb="6">
      <t>センヨウ</t>
    </rPh>
    <phoneticPr fontId="1"/>
  </si>
  <si>
    <t>コード</t>
    <phoneticPr fontId="1"/>
  </si>
  <si>
    <t>インターフェイス名</t>
    <rPh sb="8" eb="9">
      <t>メイ</t>
    </rPh>
    <phoneticPr fontId="1"/>
  </si>
  <si>
    <t>Private pChangeType As String</t>
  </si>
  <si>
    <t>Private pObjectName As String</t>
  </si>
  <si>
    <t>Private pTag As String</t>
  </si>
  <si>
    <t>Private pFromZone As String</t>
  </si>
  <si>
    <t>Private pSourceUser As String</t>
  </si>
  <si>
    <t>Private pToZone As String</t>
  </si>
  <si>
    <t>Private pToVlan As String</t>
  </si>
  <si>
    <t>Private pApplication As String</t>
  </si>
  <si>
    <t>Private pService As String</t>
  </si>
  <si>
    <t>Private pAction As String</t>
  </si>
  <si>
    <t>Private pDisabled As String</t>
  </si>
  <si>
    <t>Private pDescription As String</t>
  </si>
  <si>
    <t>コンストラクタ引数</t>
    <rPh sb="7" eb="9">
      <t>ヒキスウ</t>
    </rPh>
    <phoneticPr fontId="1"/>
  </si>
  <si>
    <t>コンストラクタ内</t>
    <rPh sb="7" eb="8">
      <t>ナイ</t>
    </rPh>
    <phoneticPr fontId="1"/>
  </si>
  <si>
    <t>Private pSourceAddressToBeRemoved As String</t>
  </si>
  <si>
    <t>Private pSourceAddressToBeAdded As String</t>
  </si>
  <si>
    <t>Private pDestinationAddressToBeRemoved As String</t>
  </si>
  <si>
    <t>Private pDestinationAddressToBeAdded As String</t>
  </si>
  <si>
    <t>Private pSourceOriginalAddress As String</t>
  </si>
  <si>
    <t>Private pToInterface As String</t>
  </si>
  <si>
    <t>Private pDestinationOriginalAddress As String</t>
  </si>
  <si>
    <t>Private pOriginalService As String</t>
  </si>
  <si>
    <t>Private pSourceTranslateType As String</t>
  </si>
  <si>
    <t>Private pSourceTranslatedAddress As String</t>
  </si>
  <si>
    <t>Private pBiDirectional As String</t>
  </si>
  <si>
    <t>Private pDestinationTranslateType As String</t>
  </si>
  <si>
    <t>Private pDestinationTranslatedAddress As String</t>
  </si>
  <si>
    <t>Private pObjectType As String</t>
  </si>
  <si>
    <t>Private pIpAddressOrRange As String</t>
  </si>
  <si>
    <t>Private pMaskLength As String</t>
  </si>
  <si>
    <t>Private pGroupName As String</t>
  </si>
  <si>
    <t>Private pMemberName As String</t>
  </si>
  <si>
    <t>Private pProtocol As String</t>
  </si>
  <si>
    <t>Private pSourcePortNumber As String</t>
  </si>
  <si>
    <t>Private pDestinationPortNumber As String</t>
  </si>
  <si>
    <t>Private pDestinationAddress As String</t>
  </si>
  <si>
    <t>Private pNextHop As String</t>
  </si>
  <si>
    <t>Private pMetric As String</t>
  </si>
  <si>
    <t>Private pOutputInterface As String</t>
  </si>
  <si>
    <t>Private pSourceAddress As String</t>
  </si>
  <si>
    <t>Private pSymmetric As String</t>
  </si>
  <si>
    <t>Private pMonitor As 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</si>
</sst>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8"/>
      <color theme="1"/>
      <name val="UDEV Gothic JPDOC"/>
      <family val="3"/>
      <charset val="128"/>
    </font>
    <font>
      <b/>
      <sz val="11"/>
      <color theme="1"/>
      <name val="Yu Gothic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top" wrapText="1"/>
    </xf>
    <xf numFmtId="0" fontId="3" fillId="2" borderId="0" xfId="0" applyFont="1" applyFill="1"/>
    <xf numFmtId="0" fontId="3" fillId="2" borderId="0" xfId="0" applyFont="1" applyFill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62"/>
  <sheetViews>
    <sheetView tabSelected="1" topLeftCell="A49" workbookViewId="0">
      <selection activeCell="A54" sqref="A54:A62"/>
    </sheetView>
  </sheetViews>
  <sheetFormatPr defaultRowHeight="19.5" customHeight="1"/>
  <cols>
    <col min="1" max="1" width="38" style="1" bestFit="1" customWidth="1"/>
    <col min="2" max="2" width="20.5" style="1" bestFit="1" customWidth="1"/>
    <col min="3" max="3" width="6.5" style="1" bestFit="1" customWidth="1"/>
    <col min="4" max="4" width="12.875" style="1" bestFit="1" customWidth="1"/>
    <col min="5" max="5" width="88.25" style="2" customWidth="1"/>
    <col min="6" max="6" width="12.875" style="1" customWidth="1"/>
    <col min="7" max="7" width="32" style="1" customWidth="1"/>
    <col min="8" max="9" width="23.625" style="1" customWidth="1"/>
    <col min="10" max="16384" width="9" style="1"/>
  </cols>
  <sheetData>
    <row r="1" spans="1:9" s="3" customFormat="1" ht="19.5" customHeight="1">
      <c r="A1" s="3" t="s">
        <v>0</v>
      </c>
      <c r="B1" s="3" t="s">
        <v>1</v>
      </c>
      <c r="C1" s="3" t="s">
        <v>2</v>
      </c>
      <c r="D1" s="3" t="s">
        <v>3</v>
      </c>
      <c r="E1" s="4" t="s">
        <v>5</v>
      </c>
      <c r="F1" s="3" t="s">
        <v>4</v>
      </c>
      <c r="G1" s="3" t="s">
        <v>6</v>
      </c>
      <c r="H1" s="3" t="s">
        <v>20</v>
      </c>
      <c r="I1" s="3" t="s">
        <v>19</v>
      </c>
    </row>
    <row r="2" spans="1:9" ht="19.5" customHeight="1">
      <c r="A2" s="1" t="s">
        <v>7</v>
      </c>
      <c r="B2" s="1" t="str">
        <f>MID(A2,10,FIND(" ",A2,10)-10)</f>
        <v>ChangeType</v>
      </c>
      <c r="C2" s="1" t="str">
        <f>RIGHT(A2,LEN(A2)-FIND(" ",A2,10)-3)</f>
        <v>String</v>
      </c>
      <c r="D2" s="1" t="b">
        <f>NOT(OR(C2="",C2="Integer",C2="Long",C2="Currency",C2="Single",C2="Double",C2="String",C2="Date",C2="Boolean",C2="Variant"))</f>
        <v>0</v>
      </c>
      <c r="E2" s="2" t="str">
        <f>IF($G2="","","Private Property Get "&amp;$G2&amp;"_"&amp;$B2&amp;"() As "&amp;$C2&amp;"
    "&amp;IF($D2,"Set ","")&amp;$G2&amp;"_"&amp;$B2&amp;" = "&amp;$B2&amp;"
End Property"&amp;CHAR(10)
&amp;IF($F2,"","Private Property "&amp;IF($D2,"Set ","Let ")&amp;$G2&amp;"_"&amp;$B2&amp;"(NewValue As "&amp;$C2&amp;")
    "&amp;IF($D2,"Set ","")&amp;$B2&amp;" = NewValue
End Property")&amp;CHAR(10))
&amp;"Public Property Get "&amp;$B2&amp;"() As "&amp;$C2&amp;"
    "&amp;IF($D2,"Set ","")&amp;$B2&amp;" = p"&amp;$B2&amp;"
End Property"&amp;CHAR(10)
&amp;IF($F2,"","Public Property "&amp;IF($D2,"Set ","Let ")&amp;$B2&amp;"(NewValue As "&amp;$C2&amp;")
    "&amp;IF($D2,"Set p","p")&amp;$B2&amp;" = NewValue
End Property"&amp;CHAR(10))</f>
        <v xml:space="preserve">Public Property Get ChangeType() As String
    ChangeType = pChangeType
End Property
Public Property Let ChangeType(NewValue As String)
    pChangeType = NewValue
End Property
</v>
      </c>
      <c r="F2" s="1" t="b">
        <v>0</v>
      </c>
      <c r="H2" s="1" t="str">
        <f>"    "&amp;IF(D2,"Set ","")&amp;"result."&amp;B2&amp;" = "&amp;B2</f>
        <v xml:space="preserve">    result.ChangeType = ChangeType</v>
      </c>
      <c r="I2" s="1" t="str">
        <f>"        Optional ByVal "&amp;B2&amp;" As "&amp;C2&amp;", _"</f>
        <v xml:space="preserve">        Optional ByVal ChangeType As String, _</v>
      </c>
    </row>
    <row r="3" spans="1:9" ht="19.5" customHeight="1">
      <c r="A3" s="1" t="s">
        <v>8</v>
      </c>
      <c r="B3" s="1" t="str">
        <f t="shared" ref="B3:B18" si="0">MID(A3,10,FIND(" ",A3,10)-10)</f>
        <v>ObjectName</v>
      </c>
      <c r="C3" s="1" t="str">
        <f t="shared" ref="C3:C18" si="1">RIGHT(A3,LEN(A3)-FIND(" ",A3,10)-3)</f>
        <v>String</v>
      </c>
      <c r="D3" s="1" t="b">
        <f t="shared" ref="D3:D18" si="2">NOT(OR(C3="",C3="Integer",C3="Long",C3="Currency",C3="Single",C3="Double",C3="String",C3="Date",C3="Boolean",C3="Variant"))</f>
        <v>0</v>
      </c>
      <c r="E3" s="2" t="str">
        <f t="shared" ref="E3:E18" si="3">IF($G3="","","Private Property Get "&amp;$G3&amp;"_"&amp;$B3&amp;"() As "&amp;$C3&amp;"
    "&amp;IF($D3,"Set ","")&amp;$G3&amp;"_"&amp;$B3&amp;" = "&amp;$B3&amp;"
End Property"&amp;CHAR(10)
&amp;IF($F3,"","Private Property "&amp;IF($D3,"Set ","Let ")&amp;$G3&amp;"_"&amp;$B3&amp;"(NewValue As "&amp;$C3&amp;")
    "&amp;IF($D3,"Set ","")&amp;$B3&amp;" = NewValue
End Property")&amp;CHAR(10))
&amp;"Public Property Get "&amp;$B3&amp;"() As "&amp;$C3&amp;"
    "&amp;IF($D3,"Set ","")&amp;$B3&amp;" = p"&amp;$B3&amp;"
End Property"&amp;CHAR(10)
&amp;IF($F3,"","Public Property "&amp;IF($D3,"Set ","Let ")&amp;$B3&amp;"(NewValue As "&amp;$C3&amp;")
    "&amp;IF($D3,"Set p","p")&amp;$B3&amp;" = NewValue
End Property"&amp;CHAR(10))</f>
        <v xml:space="preserve">Public Property Get ObjectName() As String
    ObjectName = pObjectName
End Property
Public Property Let ObjectName(NewValue As String)
    pObjectName = NewValue
End Property
</v>
      </c>
      <c r="F3" s="1" t="b">
        <v>0</v>
      </c>
      <c r="H3" s="1" t="str">
        <f t="shared" ref="H3:H18" si="4">"    "&amp;IF(D3,"Set ","")&amp;"result."&amp;B3&amp;" = "&amp;B3</f>
        <v xml:space="preserve">    result.ObjectName = ObjectName</v>
      </c>
      <c r="I3" s="1" t="str">
        <f t="shared" ref="I3:I18" si="5">"        Optional ByVal "&amp;B3&amp;" As "&amp;C3&amp;", _"</f>
        <v xml:space="preserve">        Optional ByVal ObjectName As String, _</v>
      </c>
    </row>
    <row r="4" spans="1:9" ht="19.5" customHeight="1">
      <c r="A4" s="1" t="s">
        <v>9</v>
      </c>
      <c r="B4" s="1" t="str">
        <f t="shared" si="0"/>
        <v>Tag</v>
      </c>
      <c r="C4" s="1" t="str">
        <f t="shared" si="1"/>
        <v>String</v>
      </c>
      <c r="D4" s="1" t="b">
        <f t="shared" si="2"/>
        <v>0</v>
      </c>
      <c r="E4" s="2" t="str">
        <f t="shared" si="3"/>
        <v xml:space="preserve">Public Property Get Tag() As String
    Tag = pTag
End Property
Public Property Let Tag(NewValue As String)
    pTag = NewValue
End Property
</v>
      </c>
      <c r="F4" s="1" t="b">
        <v>0</v>
      </c>
      <c r="H4" s="1" t="str">
        <f t="shared" si="4"/>
        <v xml:space="preserve">    result.Tag = Tag</v>
      </c>
      <c r="I4" s="1" t="str">
        <f t="shared" si="5"/>
        <v xml:space="preserve">        Optional ByVal Tag As String, _</v>
      </c>
    </row>
    <row r="5" spans="1:9" ht="19.5" customHeight="1">
      <c r="A5" s="1" t="s">
        <v>10</v>
      </c>
      <c r="B5" s="1" t="str">
        <f t="shared" si="0"/>
        <v>FromZone</v>
      </c>
      <c r="C5" s="1" t="str">
        <f t="shared" si="1"/>
        <v>String</v>
      </c>
      <c r="D5" s="1" t="b">
        <f t="shared" si="2"/>
        <v>0</v>
      </c>
      <c r="E5" s="2" t="str">
        <f t="shared" si="3"/>
        <v xml:space="preserve">Public Property Get FromZone() As String
    FromZone = pFromZone
End Property
Public Property Let FromZone(NewValue As String)
    pFromZone = NewValue
End Property
</v>
      </c>
      <c r="F5" s="1" t="b">
        <v>0</v>
      </c>
      <c r="H5" s="1" t="str">
        <f t="shared" si="4"/>
        <v xml:space="preserve">    result.FromZone = FromZone</v>
      </c>
      <c r="I5" s="1" t="str">
        <f t="shared" si="5"/>
        <v xml:space="preserve">        Optional ByVal FromZone As String, _</v>
      </c>
    </row>
    <row r="6" spans="1:9" ht="19.5" customHeight="1">
      <c r="A6" s="1" t="s">
        <v>46</v>
      </c>
      <c r="B6" s="1" t="str">
        <f t="shared" si="0"/>
        <v>SourceAddress</v>
      </c>
      <c r="C6" s="1" t="str">
        <f t="shared" si="1"/>
        <v>String</v>
      </c>
      <c r="D6" s="1" t="b">
        <f t="shared" si="2"/>
        <v>0</v>
      </c>
      <c r="E6" s="2" t="str">
        <f t="shared" si="3"/>
        <v xml:space="preserve">Public Property Get SourceAddress() As String
    SourceAddress = pSourceAddress
End Property
Public Property Let SourceAddress(NewValue As String)
    pSourceAddress = NewValue
End Property
</v>
      </c>
      <c r="F6" s="1" t="b">
        <v>0</v>
      </c>
      <c r="H6" s="1" t="str">
        <f t="shared" si="4"/>
        <v xml:space="preserve">    result.SourceAddress = SourceAddress</v>
      </c>
      <c r="I6" s="1" t="str">
        <f t="shared" si="5"/>
        <v xml:space="preserve">        Optional ByVal SourceAddress As String, _</v>
      </c>
    </row>
    <row r="7" spans="1:9" ht="19.5" customHeight="1">
      <c r="A7" s="1" t="s">
        <v>11</v>
      </c>
      <c r="B7" s="1" t="str">
        <f t="shared" si="0"/>
        <v>SourceUser</v>
      </c>
      <c r="C7" s="1" t="str">
        <f t="shared" si="1"/>
        <v>String</v>
      </c>
      <c r="D7" s="1" t="b">
        <f t="shared" si="2"/>
        <v>0</v>
      </c>
      <c r="E7" s="2" t="str">
        <f t="shared" si="3"/>
        <v xml:space="preserve">Public Property Get SourceUser() As String
    SourceUser = pSourceUser
End Property
Public Property Let SourceUser(NewValue As String)
    pSourceUser = NewValue
End Property
</v>
      </c>
      <c r="F7" s="1" t="b">
        <v>0</v>
      </c>
      <c r="H7" s="1" t="str">
        <f t="shared" si="4"/>
        <v xml:space="preserve">    result.SourceUser = SourceUser</v>
      </c>
      <c r="I7" s="1" t="str">
        <f t="shared" si="5"/>
        <v xml:space="preserve">        Optional ByVal SourceUser As String, _</v>
      </c>
    </row>
    <row r="8" spans="1:9" ht="19.5" customHeight="1">
      <c r="A8" s="1" t="s">
        <v>42</v>
      </c>
      <c r="B8" s="1" t="str">
        <f t="shared" si="0"/>
        <v>DestinationAddress</v>
      </c>
      <c r="C8" s="1" t="str">
        <f t="shared" si="1"/>
        <v>String</v>
      </c>
      <c r="D8" s="1" t="b">
        <f t="shared" si="2"/>
        <v>0</v>
      </c>
      <c r="E8" s="2" t="str">
        <f t="shared" si="3"/>
        <v xml:space="preserve">Public Property Get DestinationAddress() As String
    DestinationAddress = pDestinationAddress
End Property
Public Property Let DestinationAddress(NewValue As String)
    pDestinationAddress = NewValue
End Property
</v>
      </c>
      <c r="F8" s="1" t="b">
        <v>0</v>
      </c>
      <c r="H8" s="1" t="str">
        <f t="shared" si="4"/>
        <v xml:space="preserve">    result.DestinationAddress = DestinationAddress</v>
      </c>
      <c r="I8" s="1" t="str">
        <f t="shared" si="5"/>
        <v xml:space="preserve">        Optional ByVal DestinationAddress As String, _</v>
      </c>
    </row>
    <row r="9" spans="1:9" ht="19.5" customHeight="1">
      <c r="A9" s="1" t="s">
        <v>14</v>
      </c>
      <c r="B9" s="1" t="str">
        <f t="shared" si="0"/>
        <v>Application</v>
      </c>
      <c r="C9" s="1" t="str">
        <f t="shared" si="1"/>
        <v>String</v>
      </c>
      <c r="D9" s="1" t="b">
        <f t="shared" si="2"/>
        <v>0</v>
      </c>
      <c r="E9" s="2" t="str">
        <f t="shared" si="3"/>
        <v xml:space="preserve">Public Property Get Application() As String
    Application = pApplication
End Property
Public Property Let Application(NewValue As String)
    pApplication = NewValue
End Property
</v>
      </c>
      <c r="F9" s="1" t="b">
        <v>0</v>
      </c>
      <c r="H9" s="1" t="str">
        <f t="shared" si="4"/>
        <v xml:space="preserve">    result.Application = Application</v>
      </c>
      <c r="I9" s="1" t="str">
        <f t="shared" si="5"/>
        <v xml:space="preserve">        Optional ByVal Application As String, _</v>
      </c>
    </row>
    <row r="10" spans="1:9" ht="19.5" customHeight="1">
      <c r="A10" s="1" t="s">
        <v>15</v>
      </c>
      <c r="B10" s="1" t="str">
        <f t="shared" si="0"/>
        <v>Service</v>
      </c>
      <c r="C10" s="1" t="str">
        <f t="shared" si="1"/>
        <v>String</v>
      </c>
      <c r="D10" s="1" t="b">
        <f t="shared" si="2"/>
        <v>0</v>
      </c>
      <c r="E10" s="2" t="str">
        <f t="shared" si="3"/>
        <v xml:space="preserve">Public Property Get Service() As String
    Service = pService
End Property
Public Property Let Service(NewValue As String)
    pService = NewValue
End Property
</v>
      </c>
      <c r="F10" s="1" t="b">
        <v>0</v>
      </c>
      <c r="H10" s="1" t="str">
        <f t="shared" si="4"/>
        <v xml:space="preserve">    result.Service = Service</v>
      </c>
      <c r="I10" s="1" t="str">
        <f t="shared" si="5"/>
        <v xml:space="preserve">        Optional ByVal Service As String, _</v>
      </c>
    </row>
    <row r="11" spans="1:9" ht="19.5" customHeight="1">
      <c r="A11" s="1" t="s">
        <v>16</v>
      </c>
      <c r="B11" s="1" t="str">
        <f t="shared" si="0"/>
        <v>Action</v>
      </c>
      <c r="C11" s="1" t="str">
        <f t="shared" si="1"/>
        <v>String</v>
      </c>
      <c r="D11" s="1" t="b">
        <f t="shared" si="2"/>
        <v>0</v>
      </c>
      <c r="E11" s="2" t="str">
        <f t="shared" si="3"/>
        <v xml:space="preserve">Public Property Get Action() As String
    Action = pAction
End Property
Public Property Let Action(NewValue As String)
    pAction = NewValue
End Property
</v>
      </c>
      <c r="F11" s="1" t="b">
        <v>0</v>
      </c>
      <c r="H11" s="1" t="str">
        <f t="shared" si="4"/>
        <v xml:space="preserve">    result.Action = Action</v>
      </c>
      <c r="I11" s="1" t="str">
        <f t="shared" si="5"/>
        <v xml:space="preserve">        Optional ByVal Action As String, _</v>
      </c>
    </row>
    <row r="12" spans="1:9" ht="19.5" customHeight="1">
      <c r="A12" s="1" t="s">
        <v>26</v>
      </c>
      <c r="B12" s="1" t="str">
        <f t="shared" si="0"/>
        <v>ToInterface</v>
      </c>
      <c r="C12" s="1" t="str">
        <f t="shared" si="1"/>
        <v>String</v>
      </c>
      <c r="D12" s="1" t="b">
        <f t="shared" si="2"/>
        <v>0</v>
      </c>
      <c r="E12" s="2" t="str">
        <f t="shared" si="3"/>
        <v xml:space="preserve">Public Property Get ToInterface() As String
    ToInterface = pToInterface
End Property
Public Property Let ToInterface(NewValue As String)
    pToInterface = NewValue
End Property
</v>
      </c>
      <c r="F12" s="1" t="b">
        <v>0</v>
      </c>
      <c r="H12" s="1" t="str">
        <f t="shared" si="4"/>
        <v xml:space="preserve">    result.ToInterface = ToInterface</v>
      </c>
      <c r="I12" s="1" t="str">
        <f t="shared" si="5"/>
        <v xml:space="preserve">        Optional ByVal ToInterface As String, _</v>
      </c>
    </row>
    <row r="13" spans="1:9" ht="19.5" customHeight="1">
      <c r="A13" s="1" t="s">
        <v>43</v>
      </c>
      <c r="B13" s="1" t="str">
        <f t="shared" si="0"/>
        <v>NextHop</v>
      </c>
      <c r="C13" s="1" t="str">
        <f t="shared" si="1"/>
        <v>String</v>
      </c>
      <c r="D13" s="1" t="b">
        <f t="shared" si="2"/>
        <v>0</v>
      </c>
      <c r="E13" s="2" t="str">
        <f t="shared" si="3"/>
        <v xml:space="preserve">Public Property Get NextHop() As String
    NextHop = pNextHop
End Property
Public Property Let NextHop(NewValue As String)
    pNextHop = NewValue
End Property
</v>
      </c>
      <c r="F13" s="1" t="b">
        <v>0</v>
      </c>
      <c r="H13" s="1" t="str">
        <f t="shared" si="4"/>
        <v xml:space="preserve">    result.NextHop = NextHop</v>
      </c>
      <c r="I13" s="1" t="str">
        <f t="shared" si="5"/>
        <v xml:space="preserve">        Optional ByVal NextHop As String, _</v>
      </c>
    </row>
    <row r="14" spans="1:9" ht="19.5" customHeight="1">
      <c r="A14" s="1" t="s">
        <v>47</v>
      </c>
      <c r="B14" s="1" t="str">
        <f t="shared" si="0"/>
        <v>Symmetric</v>
      </c>
      <c r="C14" s="1" t="str">
        <f t="shared" si="1"/>
        <v>String</v>
      </c>
      <c r="D14" s="1" t="b">
        <f t="shared" si="2"/>
        <v>0</v>
      </c>
      <c r="E14" s="2" t="str">
        <f t="shared" si="3"/>
        <v xml:space="preserve">Public Property Get Symmetric() As String
    Symmetric = pSymmetric
End Property
Public Property Let Symmetric(NewValue As String)
    pSymmetric = NewValue
End Property
</v>
      </c>
      <c r="F14" s="1" t="b">
        <v>0</v>
      </c>
      <c r="H14" s="1" t="str">
        <f t="shared" si="4"/>
        <v xml:space="preserve">    result.Symmetric = Symmetric</v>
      </c>
      <c r="I14" s="1" t="str">
        <f t="shared" si="5"/>
        <v xml:space="preserve">        Optional ByVal Symmetric As String, _</v>
      </c>
    </row>
    <row r="15" spans="1:9" ht="19.5" customHeight="1">
      <c r="A15" s="1" t="s">
        <v>48</v>
      </c>
      <c r="B15" s="1" t="str">
        <f t="shared" si="0"/>
        <v>Monitor</v>
      </c>
      <c r="C15" s="1" t="str">
        <f t="shared" si="1"/>
        <v>String</v>
      </c>
      <c r="D15" s="1" t="b">
        <f t="shared" si="2"/>
        <v>0</v>
      </c>
      <c r="E15" s="2" t="str">
        <f t="shared" si="3"/>
        <v xml:space="preserve">Public Property Get Monitor() As String
    Monitor = pMonitor
End Property
Public Property Let Monitor(NewValue As String)
    pMonitor = NewValue
End Property
</v>
      </c>
      <c r="F15" s="1" t="b">
        <v>0</v>
      </c>
      <c r="H15" s="1" t="str">
        <f t="shared" si="4"/>
        <v xml:space="preserve">    result.Monitor = Monitor</v>
      </c>
      <c r="I15" s="1" t="str">
        <f t="shared" si="5"/>
        <v xml:space="preserve">        Optional ByVal Monitor As String, _</v>
      </c>
    </row>
    <row r="16" spans="1:9" ht="19.5" customHeight="1">
      <c r="B16" s="1" t="e">
        <f t="shared" si="0"/>
        <v>#VALUE!</v>
      </c>
      <c r="C16" s="1" t="e">
        <f t="shared" si="1"/>
        <v>#VALUE!</v>
      </c>
      <c r="D16" s="1" t="e">
        <f t="shared" si="2"/>
        <v>#VALUE!</v>
      </c>
      <c r="E16" s="2" t="e">
        <f t="shared" si="3"/>
        <v>#VALUE!</v>
      </c>
      <c r="F16" s="1" t="b">
        <v>0</v>
      </c>
      <c r="H16" s="1" t="e">
        <f t="shared" si="4"/>
        <v>#VALUE!</v>
      </c>
      <c r="I16" s="1" t="e">
        <f t="shared" si="5"/>
        <v>#VALUE!</v>
      </c>
    </row>
    <row r="17" spans="1:9" ht="19.5" customHeight="1">
      <c r="A17" s="1" t="s">
        <v>21</v>
      </c>
      <c r="B17" s="1" t="str">
        <f t="shared" si="0"/>
        <v>SourceAddressToBeRemoved</v>
      </c>
      <c r="C17" s="1" t="str">
        <f t="shared" si="1"/>
        <v>String</v>
      </c>
      <c r="D17" s="1" t="b">
        <f t="shared" si="2"/>
        <v>0</v>
      </c>
      <c r="E17" s="2" t="str">
        <f t="shared" si="3"/>
        <v xml:space="preserve">Public Property Get SourceAddressToBeRemoved() As String
    SourceAddressToBeRemoved = pSourceAddressToBeRemoved
End Property
Public Property Let SourceAddressToBeRemoved(NewValue As String)
    pSourceAddressToBeRemoved = NewValue
End Property
</v>
      </c>
      <c r="F17" s="1" t="b">
        <v>0</v>
      </c>
      <c r="H17" s="1" t="str">
        <f t="shared" si="4"/>
        <v xml:space="preserve">    result.SourceAddressToBeRemoved = SourceAddressToBeRemoved</v>
      </c>
      <c r="I17" s="1" t="str">
        <f t="shared" si="5"/>
        <v xml:space="preserve">        Optional ByVal SourceAddressToBeRemoved As String, _</v>
      </c>
    </row>
    <row r="18" spans="1:9" ht="19.5" customHeight="1">
      <c r="A18" s="1" t="s">
        <v>22</v>
      </c>
      <c r="B18" s="1" t="str">
        <f t="shared" si="0"/>
        <v>SourceAddressToBeAdded</v>
      </c>
      <c r="C18" s="1" t="str">
        <f t="shared" si="1"/>
        <v>String</v>
      </c>
      <c r="D18" s="1" t="b">
        <f t="shared" si="2"/>
        <v>0</v>
      </c>
      <c r="E18" s="2" t="str">
        <f t="shared" si="3"/>
        <v xml:space="preserve">Public Property Get SourceAddressToBeAdded() As String
    SourceAddressToBeAdded = pSourceAddressToBeAdded
End Property
Public Property Let SourceAddressToBeAdded(NewValue As String)
    pSourceAddressToBeAdded = NewValue
End Property
</v>
      </c>
      <c r="F18" s="1" t="b">
        <v>0</v>
      </c>
      <c r="H18" s="1" t="str">
        <f t="shared" si="4"/>
        <v xml:space="preserve">    result.SourceAddressToBeAdded = SourceAddressToBeAdded</v>
      </c>
      <c r="I18" s="1" t="str">
        <f t="shared" si="5"/>
        <v xml:space="preserve">        Optional ByVal SourceAddressToBeAdded As String, _</v>
      </c>
    </row>
    <row r="19" spans="1:9" ht="19.5" customHeight="1">
      <c r="A19" s="1" t="s">
        <v>23</v>
      </c>
      <c r="B19" s="1" t="str">
        <f t="shared" ref="B18:B32" si="6">MID(A19,10,FIND(" ",A19,10)-10)</f>
        <v>DestinationAddressToBeRemoved</v>
      </c>
      <c r="C19" s="1" t="str">
        <f t="shared" ref="C18:C32" si="7">RIGHT(A19,LEN(A19)-FIND(" ",A19,10)-3)</f>
        <v>String</v>
      </c>
      <c r="D19" s="1" t="b">
        <f t="shared" ref="D18:D32" si="8">NOT(OR(C19="",C19="Integer",C19="Long",C19="Currency",C19="Single",C19="Double",C19="String",C19="Date",C19="Boolean",C19="Variant"))</f>
        <v>0</v>
      </c>
      <c r="E19" s="2" t="str">
        <f t="shared" ref="E18:E62" si="9">IF($G19="","","Private Property Get "&amp;$G19&amp;"_"&amp;$B19&amp;"() As "&amp;$C19&amp;"
    "&amp;IF($D19,"Set ","")&amp;$G19&amp;"_"&amp;$B19&amp;" = "&amp;$B19&amp;"
End Property"&amp;CHAR(10)
&amp;IF($F19,"","Private Property "&amp;IF($D19,"Set ","Let ")&amp;$G19&amp;"_"&amp;$B19&amp;"(NewValue As "&amp;$C19&amp;")
    "&amp;IF($D19,"Set ","")&amp;$B19&amp;" = NewValue
End Property")&amp;CHAR(10))
&amp;"Public Property Get "&amp;$B19&amp;"() As "&amp;$C19&amp;"
    "&amp;IF($D19,"Set ","")&amp;$B19&amp;" = p"&amp;$B19&amp;"
End Property"&amp;CHAR(10)
&amp;IF($F19,"","Public Property "&amp;IF($D19,"Set ","Let ")&amp;$B19&amp;"(NewValue As "&amp;$C19&amp;")
    "&amp;IF($D19,"Set p","p")&amp;$B19&amp;" = NewValue
End Property"&amp;CHAR(10))</f>
        <v xml:space="preserve">Public Property Get DestinationAddressToBeRemoved() As String
    DestinationAddressToBeRemoved = pDestinationAddressToBeRemoved
End Property
Public Property Let DestinationAddressToBeRemoved(NewValue As String)
    pDestinationAddressToBeRemoved = NewValue
End Property
</v>
      </c>
      <c r="F19" s="1" t="b">
        <v>0</v>
      </c>
      <c r="H19" s="1" t="str">
        <f t="shared" ref="H18:H55" si="10">"    "&amp;IF(D19,"Set ","")&amp;"result."&amp;B19&amp;" = "&amp;B19</f>
        <v xml:space="preserve">    result.DestinationAddressToBeRemoved = DestinationAddressToBeRemoved</v>
      </c>
      <c r="I19" s="1" t="str">
        <f t="shared" ref="I18:I55" si="11">"        Optional ByVal "&amp;B19&amp;" As "&amp;C19&amp;", _"</f>
        <v xml:space="preserve">        Optional ByVal DestinationAddressToBeRemoved As String, _</v>
      </c>
    </row>
    <row r="20" spans="1:9" ht="19.5" customHeight="1">
      <c r="A20" s="1" t="s">
        <v>24</v>
      </c>
      <c r="B20" s="1" t="str">
        <f t="shared" si="6"/>
        <v>DestinationAddressToBeAdded</v>
      </c>
      <c r="C20" s="1" t="str">
        <f t="shared" si="7"/>
        <v>String</v>
      </c>
      <c r="D20" s="1" t="b">
        <f t="shared" si="8"/>
        <v>0</v>
      </c>
      <c r="E20" s="2" t="str">
        <f t="shared" si="9"/>
        <v xml:space="preserve">Public Property Get DestinationAddressToBeAdded() As String
    DestinationAddressToBeAdded = pDestinationAddressToBeAdded
End Property
Public Property Let DestinationAddressToBeAdded(NewValue As String)
    pDestinationAddressToBeAdded = NewValue
End Property
</v>
      </c>
      <c r="F20" s="1" t="b">
        <v>0</v>
      </c>
      <c r="H20" s="1" t="str">
        <f t="shared" si="10"/>
        <v xml:space="preserve">    result.DestinationAddressToBeAdded = DestinationAddressToBeAdded</v>
      </c>
      <c r="I20" s="1" t="str">
        <f t="shared" si="11"/>
        <v xml:space="preserve">        Optional ByVal DestinationAddressToBeAdded As String, _</v>
      </c>
    </row>
    <row r="21" spans="1:9" ht="19.5" customHeight="1">
      <c r="B21" s="1" t="e">
        <f t="shared" si="6"/>
        <v>#VALUE!</v>
      </c>
      <c r="C21" s="1" t="e">
        <f t="shared" si="7"/>
        <v>#VALUE!</v>
      </c>
      <c r="D21" s="1" t="e">
        <f t="shared" si="8"/>
        <v>#VALUE!</v>
      </c>
      <c r="E21" s="2" t="e">
        <f t="shared" si="9"/>
        <v>#VALUE!</v>
      </c>
      <c r="F21" s="1" t="b">
        <v>0</v>
      </c>
      <c r="H21" s="1" t="e">
        <f t="shared" si="10"/>
        <v>#VALUE!</v>
      </c>
      <c r="I21" s="1" t="e">
        <f t="shared" si="11"/>
        <v>#VALUE!</v>
      </c>
    </row>
    <row r="22" spans="1:9" ht="19.5" customHeight="1">
      <c r="A22" s="1" t="s">
        <v>7</v>
      </c>
      <c r="B22" s="1" t="str">
        <f t="shared" si="6"/>
        <v>ChangeType</v>
      </c>
      <c r="C22" s="1" t="str">
        <f t="shared" si="7"/>
        <v>String</v>
      </c>
      <c r="D22" s="1" t="b">
        <f t="shared" si="8"/>
        <v>0</v>
      </c>
      <c r="E22" s="2" t="str">
        <f t="shared" si="9"/>
        <v xml:space="preserve">Public Property Get ChangeType() As String
    ChangeType = pChangeType
End Property
Public Property Let ChangeType(NewValue As String)
    pChangeType = NewValue
End Property
</v>
      </c>
      <c r="F22" s="1" t="b">
        <v>0</v>
      </c>
      <c r="H22" s="1" t="str">
        <f t="shared" si="10"/>
        <v xml:space="preserve">    result.ChangeType = ChangeType</v>
      </c>
      <c r="I22" s="1" t="str">
        <f t="shared" si="11"/>
        <v xml:space="preserve">        Optional ByVal ChangeType As String, _</v>
      </c>
    </row>
    <row r="23" spans="1:9" ht="19.5" customHeight="1">
      <c r="A23" s="1" t="s">
        <v>8</v>
      </c>
      <c r="B23" s="1" t="str">
        <f t="shared" si="6"/>
        <v>ObjectName</v>
      </c>
      <c r="C23" s="1" t="str">
        <f t="shared" si="7"/>
        <v>String</v>
      </c>
      <c r="D23" s="1" t="b">
        <f t="shared" si="8"/>
        <v>0</v>
      </c>
      <c r="E23" s="2" t="str">
        <f t="shared" si="9"/>
        <v xml:space="preserve">Public Property Get ObjectName() As String
    ObjectName = pObjectName
End Property
Public Property Let ObjectName(NewValue As String)
    pObjectName = NewValue
End Property
</v>
      </c>
      <c r="F23" s="1" t="b">
        <v>0</v>
      </c>
      <c r="H23" s="1" t="str">
        <f t="shared" si="10"/>
        <v xml:space="preserve">    result.ObjectName = ObjectName</v>
      </c>
      <c r="I23" s="1" t="str">
        <f t="shared" si="11"/>
        <v xml:space="preserve">        Optional ByVal ObjectName As String, _</v>
      </c>
    </row>
    <row r="24" spans="1:9" ht="19.5" customHeight="1">
      <c r="A24" s="1" t="s">
        <v>9</v>
      </c>
      <c r="B24" s="1" t="str">
        <f t="shared" si="6"/>
        <v>Tag</v>
      </c>
      <c r="C24" s="1" t="str">
        <f t="shared" si="7"/>
        <v>String</v>
      </c>
      <c r="D24" s="1" t="b">
        <f t="shared" si="8"/>
        <v>0</v>
      </c>
      <c r="E24" s="2" t="str">
        <f t="shared" si="9"/>
        <v xml:space="preserve">Public Property Get Tag() As String
    Tag = pTag
End Property
Public Property Let Tag(NewValue As String)
    pTag = NewValue
End Property
</v>
      </c>
      <c r="F24" s="1" t="b">
        <v>0</v>
      </c>
      <c r="H24" s="1" t="str">
        <f t="shared" si="10"/>
        <v xml:space="preserve">    result.Tag = Tag</v>
      </c>
      <c r="I24" s="1" t="str">
        <f t="shared" si="11"/>
        <v xml:space="preserve">        Optional ByVal Tag As String, _</v>
      </c>
    </row>
    <row r="25" spans="1:9" ht="19.5" customHeight="1">
      <c r="A25" s="1" t="s">
        <v>25</v>
      </c>
      <c r="B25" s="1" t="str">
        <f t="shared" si="6"/>
        <v>SourceOriginalAddress</v>
      </c>
      <c r="C25" s="1" t="str">
        <f t="shared" si="7"/>
        <v>String</v>
      </c>
      <c r="D25" s="1" t="b">
        <f t="shared" si="8"/>
        <v>0</v>
      </c>
      <c r="E25" s="2" t="str">
        <f t="shared" si="9"/>
        <v xml:space="preserve">Public Property Get SourceOriginalAddress() As String
    SourceOriginalAddress = pSourceOriginalAddress
End Property
Public Property Let SourceOriginalAddress(NewValue As String)
    pSourceOriginalAddress = NewValue
End Property
</v>
      </c>
      <c r="F25" s="1" t="b">
        <v>0</v>
      </c>
      <c r="H25" s="1" t="str">
        <f t="shared" si="10"/>
        <v xml:space="preserve">    result.SourceOriginalAddress = SourceOriginalAddress</v>
      </c>
      <c r="I25" s="1" t="str">
        <f t="shared" si="11"/>
        <v xml:space="preserve">        Optional ByVal SourceOriginalAddress As String, _</v>
      </c>
    </row>
    <row r="26" spans="1:9" ht="19.5" customHeight="1">
      <c r="A26" s="1" t="s">
        <v>10</v>
      </c>
      <c r="B26" s="1" t="str">
        <f t="shared" si="6"/>
        <v>FromZone</v>
      </c>
      <c r="C26" s="1" t="str">
        <f t="shared" si="7"/>
        <v>String</v>
      </c>
      <c r="D26" s="1" t="b">
        <f t="shared" si="8"/>
        <v>0</v>
      </c>
      <c r="E26" s="2" t="str">
        <f t="shared" si="9"/>
        <v xml:space="preserve">Public Property Get FromZone() As String
    FromZone = pFromZone
End Property
Public Property Let FromZone(NewValue As String)
    pFromZone = NewValue
End Property
</v>
      </c>
      <c r="F26" s="1" t="b">
        <v>0</v>
      </c>
      <c r="H26" s="1" t="str">
        <f t="shared" si="10"/>
        <v xml:space="preserve">    result.FromZone = FromZone</v>
      </c>
      <c r="I26" s="1" t="str">
        <f t="shared" si="11"/>
        <v xml:space="preserve">        Optional ByVal FromZone As String, _</v>
      </c>
    </row>
    <row r="27" spans="1:9" ht="19.5" customHeight="1">
      <c r="A27" s="1" t="s">
        <v>26</v>
      </c>
      <c r="B27" s="1" t="str">
        <f t="shared" si="6"/>
        <v>ToInterface</v>
      </c>
      <c r="C27" s="1" t="str">
        <f t="shared" si="7"/>
        <v>String</v>
      </c>
      <c r="D27" s="1" t="b">
        <f t="shared" si="8"/>
        <v>0</v>
      </c>
      <c r="E27" s="2" t="str">
        <f t="shared" si="9"/>
        <v xml:space="preserve">Public Property Get ToInterface() As String
    ToInterface = pToInterface
End Property
Public Property Let ToInterface(NewValue As String)
    pToInterface = NewValue
End Property
</v>
      </c>
      <c r="F27" s="1" t="b">
        <v>0</v>
      </c>
      <c r="H27" s="1" t="str">
        <f t="shared" si="10"/>
        <v xml:space="preserve">    result.ToInterface = ToInterface</v>
      </c>
      <c r="I27" s="1" t="str">
        <f t="shared" si="11"/>
        <v xml:space="preserve">        Optional ByVal ToInterface As String, _</v>
      </c>
    </row>
    <row r="28" spans="1:9" ht="19.5" customHeight="1">
      <c r="A28" s="1" t="s">
        <v>12</v>
      </c>
      <c r="B28" s="1" t="str">
        <f t="shared" si="6"/>
        <v>ToZone</v>
      </c>
      <c r="C28" s="1" t="str">
        <f t="shared" si="7"/>
        <v>String</v>
      </c>
      <c r="D28" s="1" t="b">
        <f t="shared" si="8"/>
        <v>0</v>
      </c>
      <c r="E28" s="2" t="str">
        <f t="shared" si="9"/>
        <v xml:space="preserve">Public Property Get ToZone() As String
    ToZone = pToZone
End Property
Public Property Let ToZone(NewValue As String)
    pToZone = NewValue
End Property
</v>
      </c>
      <c r="F28" s="1" t="b">
        <v>0</v>
      </c>
      <c r="H28" s="1" t="str">
        <f t="shared" si="10"/>
        <v xml:space="preserve">    result.ToZone = ToZone</v>
      </c>
      <c r="I28" s="1" t="str">
        <f t="shared" si="11"/>
        <v xml:space="preserve">        Optional ByVal ToZone As String, _</v>
      </c>
    </row>
    <row r="29" spans="1:9" ht="19.5" customHeight="1">
      <c r="A29" s="1" t="s">
        <v>27</v>
      </c>
      <c r="B29" s="1" t="str">
        <f t="shared" si="6"/>
        <v>DestinationOriginalAddress</v>
      </c>
      <c r="C29" s="1" t="str">
        <f t="shared" si="7"/>
        <v>String</v>
      </c>
      <c r="D29" s="1" t="b">
        <f t="shared" si="8"/>
        <v>0</v>
      </c>
      <c r="E29" s="2" t="str">
        <f t="shared" si="9"/>
        <v xml:space="preserve">Public Property Get DestinationOriginalAddress() As String
    DestinationOriginalAddress = pDestinationOriginalAddress
End Property
Public Property Let DestinationOriginalAddress(NewValue As String)
    pDestinationOriginalAddress = NewValue
End Property
</v>
      </c>
      <c r="F29" s="1" t="b">
        <v>0</v>
      </c>
      <c r="H29" s="1" t="str">
        <f t="shared" si="10"/>
        <v xml:space="preserve">    result.DestinationOriginalAddress = DestinationOriginalAddress</v>
      </c>
      <c r="I29" s="1" t="str">
        <f t="shared" si="11"/>
        <v xml:space="preserve">        Optional ByVal DestinationOriginalAddress As String, _</v>
      </c>
    </row>
    <row r="30" spans="1:9" ht="19.5" customHeight="1">
      <c r="A30" s="1" t="s">
        <v>28</v>
      </c>
      <c r="B30" s="1" t="str">
        <f t="shared" si="6"/>
        <v>OriginalService</v>
      </c>
      <c r="C30" s="1" t="str">
        <f t="shared" si="7"/>
        <v>String</v>
      </c>
      <c r="D30" s="1" t="b">
        <f t="shared" si="8"/>
        <v>0</v>
      </c>
      <c r="E30" s="2" t="str">
        <f t="shared" si="9"/>
        <v xml:space="preserve">Public Property Get OriginalService() As String
    OriginalService = pOriginalService
End Property
Public Property Let OriginalService(NewValue As String)
    pOriginalService = NewValue
End Property
</v>
      </c>
      <c r="F30" s="1" t="b">
        <v>0</v>
      </c>
      <c r="H30" s="1" t="str">
        <f t="shared" si="10"/>
        <v xml:space="preserve">    result.OriginalService = OriginalService</v>
      </c>
      <c r="I30" s="1" t="str">
        <f t="shared" si="11"/>
        <v xml:space="preserve">        Optional ByVal OriginalService As String, _</v>
      </c>
    </row>
    <row r="31" spans="1:9" ht="19.5" customHeight="1">
      <c r="A31" s="1" t="s">
        <v>29</v>
      </c>
      <c r="B31" s="1" t="str">
        <f t="shared" si="6"/>
        <v>SourceTranslateType</v>
      </c>
      <c r="C31" s="1" t="str">
        <f t="shared" si="7"/>
        <v>String</v>
      </c>
      <c r="D31" s="1" t="b">
        <f t="shared" si="8"/>
        <v>0</v>
      </c>
      <c r="E31" s="2" t="str">
        <f t="shared" si="9"/>
        <v xml:space="preserve">Public Property Get SourceTranslateType() As String
    SourceTranslateType = pSourceTranslateType
End Property
Public Property Let SourceTranslateType(NewValue As String)
    pSourceTranslateType = NewValue
End Property
</v>
      </c>
      <c r="F31" s="1" t="b">
        <v>0</v>
      </c>
      <c r="H31" s="1" t="str">
        <f t="shared" si="10"/>
        <v xml:space="preserve">    result.SourceTranslateType = SourceTranslateType</v>
      </c>
      <c r="I31" s="1" t="str">
        <f t="shared" si="11"/>
        <v xml:space="preserve">        Optional ByVal SourceTranslateType As String, _</v>
      </c>
    </row>
    <row r="32" spans="1:9" ht="19.5" customHeight="1">
      <c r="A32" s="1" t="s">
        <v>30</v>
      </c>
      <c r="B32" s="1" t="str">
        <f t="shared" si="6"/>
        <v>SourceTranslatedAddress</v>
      </c>
      <c r="C32" s="1" t="str">
        <f t="shared" si="7"/>
        <v>String</v>
      </c>
      <c r="D32" s="1" t="b">
        <f t="shared" si="8"/>
        <v>0</v>
      </c>
      <c r="E32" s="2" t="str">
        <f t="shared" si="9"/>
        <v xml:space="preserve">Public Property Get SourceTranslatedAddress() As String
    SourceTranslatedAddress = pSourceTranslatedAddress
End Property
Public Property Let SourceTranslatedAddress(NewValue As String)
    pSourceTranslatedAddress = NewValue
End Property
</v>
      </c>
      <c r="F32" s="1" t="b">
        <v>0</v>
      </c>
      <c r="H32" s="1" t="str">
        <f t="shared" si="10"/>
        <v xml:space="preserve">    result.SourceTranslatedAddress = SourceTranslatedAddress</v>
      </c>
      <c r="I32" s="1" t="str">
        <f t="shared" si="11"/>
        <v xml:space="preserve">        Optional ByVal SourceTranslatedAddress As String, _</v>
      </c>
    </row>
    <row r="33" spans="1:9" ht="19.5" customHeight="1">
      <c r="A33" s="1" t="s">
        <v>31</v>
      </c>
      <c r="B33" s="1" t="str">
        <f t="shared" ref="B33:B55" si="12">MID(A33,10,FIND(" ",A33,10)-10)</f>
        <v>BiDirectional</v>
      </c>
      <c r="C33" s="1" t="str">
        <f t="shared" ref="C33:C55" si="13">RIGHT(A33,LEN(A33)-FIND(" ",A33,10)-3)</f>
        <v>String</v>
      </c>
      <c r="D33" s="1" t="b">
        <f t="shared" ref="D33:D55" si="14">NOT(OR(C33="",C33="Integer",C33="Long",C33="Currency",C33="Single",C33="Double",C33="String",C33="Date",C33="Boolean",C33="Variant"))</f>
        <v>0</v>
      </c>
      <c r="E33" s="2" t="str">
        <f t="shared" si="9"/>
        <v xml:space="preserve">Public Property Get BiDirectional() As String
    BiDirectional = pBiDirectional
End Property
Public Property Let BiDirectional(NewValue As String)
    pBiDirectional = NewValue
End Property
</v>
      </c>
      <c r="F33" s="1" t="b">
        <v>0</v>
      </c>
      <c r="H33" s="1" t="str">
        <f t="shared" si="10"/>
        <v xml:space="preserve">    result.BiDirectional = BiDirectional</v>
      </c>
      <c r="I33" s="1" t="str">
        <f t="shared" si="11"/>
        <v xml:space="preserve">        Optional ByVal BiDirectional As String, _</v>
      </c>
    </row>
    <row r="34" spans="1:9" ht="19.5" customHeight="1">
      <c r="A34" s="1" t="s">
        <v>32</v>
      </c>
      <c r="B34" s="1" t="str">
        <f t="shared" si="12"/>
        <v>DestinationTranslateType</v>
      </c>
      <c r="C34" s="1" t="str">
        <f t="shared" si="13"/>
        <v>String</v>
      </c>
      <c r="D34" s="1" t="b">
        <f t="shared" si="14"/>
        <v>0</v>
      </c>
      <c r="E34" s="2" t="str">
        <f t="shared" si="9"/>
        <v xml:space="preserve">Public Property Get DestinationTranslateType() As String
    DestinationTranslateType = pDestinationTranslateType
End Property
Public Property Let DestinationTranslateType(NewValue As String)
    pDestinationTranslateType = NewValue
End Property
</v>
      </c>
      <c r="F34" s="1" t="b">
        <v>0</v>
      </c>
      <c r="H34" s="1" t="str">
        <f t="shared" si="10"/>
        <v xml:space="preserve">    result.DestinationTranslateType = DestinationTranslateType</v>
      </c>
      <c r="I34" s="1" t="str">
        <f t="shared" si="11"/>
        <v xml:space="preserve">        Optional ByVal DestinationTranslateType As String, _</v>
      </c>
    </row>
    <row r="35" spans="1:9" ht="19.5" customHeight="1">
      <c r="A35" s="1" t="s">
        <v>33</v>
      </c>
      <c r="B35" s="1" t="str">
        <f t="shared" si="12"/>
        <v>DestinationTranslatedAddress</v>
      </c>
      <c r="C35" s="1" t="str">
        <f t="shared" si="13"/>
        <v>String</v>
      </c>
      <c r="D35" s="1" t="b">
        <f t="shared" si="14"/>
        <v>0</v>
      </c>
      <c r="E35" s="2" t="str">
        <f t="shared" si="9"/>
        <v xml:space="preserve">Public Property Get DestinationTranslatedAddress() As String
    DestinationTranslatedAddress = pDestinationTranslatedAddress
End Property
Public Property Let DestinationTranslatedAddress(NewValue As String)
    pDestinationTranslatedAddress = NewValue
End Property
</v>
      </c>
      <c r="F35" s="1" t="b">
        <v>0</v>
      </c>
      <c r="H35" s="1" t="str">
        <f t="shared" si="10"/>
        <v xml:space="preserve">    result.DestinationTranslatedAddress = DestinationTranslatedAddress</v>
      </c>
      <c r="I35" s="1" t="str">
        <f t="shared" si="11"/>
        <v xml:space="preserve">        Optional ByVal DestinationTranslatedAddress As String, _</v>
      </c>
    </row>
    <row r="36" spans="1:9" ht="19.5" customHeight="1">
      <c r="A36" s="1" t="s">
        <v>17</v>
      </c>
      <c r="B36" s="1" t="str">
        <f t="shared" si="12"/>
        <v>Disabled</v>
      </c>
      <c r="C36" s="1" t="str">
        <f t="shared" si="13"/>
        <v>String</v>
      </c>
      <c r="D36" s="1" t="b">
        <f t="shared" si="14"/>
        <v>0</v>
      </c>
      <c r="E36" s="2" t="str">
        <f t="shared" si="9"/>
        <v xml:space="preserve">Public Property Get Disabled() As String
    Disabled = pDisabled
End Property
Public Property Let Disabled(NewValue As String)
    pDisabled = NewValue
End Property
</v>
      </c>
      <c r="F36" s="1" t="b">
        <v>0</v>
      </c>
      <c r="H36" s="1" t="str">
        <f t="shared" si="10"/>
        <v xml:space="preserve">    result.Disabled = Disabled</v>
      </c>
      <c r="I36" s="1" t="str">
        <f t="shared" si="11"/>
        <v xml:space="preserve">        Optional ByVal Disabled As String, _</v>
      </c>
    </row>
    <row r="37" spans="1:9" ht="19.5" customHeight="1">
      <c r="B37" s="1" t="e">
        <f t="shared" si="12"/>
        <v>#VALUE!</v>
      </c>
      <c r="C37" s="1" t="e">
        <f t="shared" si="13"/>
        <v>#VALUE!</v>
      </c>
      <c r="D37" s="1" t="e">
        <f t="shared" si="14"/>
        <v>#VALUE!</v>
      </c>
      <c r="E37" s="2" t="e">
        <f t="shared" si="9"/>
        <v>#VALUE!</v>
      </c>
      <c r="F37" s="1" t="b">
        <v>0</v>
      </c>
      <c r="H37" s="1" t="e">
        <f t="shared" si="10"/>
        <v>#VALUE!</v>
      </c>
      <c r="I37" s="1" t="e">
        <f t="shared" si="11"/>
        <v>#VALUE!</v>
      </c>
    </row>
    <row r="38" spans="1:9" ht="19.5" customHeight="1">
      <c r="A38" s="1" t="s">
        <v>7</v>
      </c>
      <c r="B38" s="1" t="str">
        <f t="shared" si="12"/>
        <v>ChangeType</v>
      </c>
      <c r="C38" s="1" t="str">
        <f t="shared" si="13"/>
        <v>String</v>
      </c>
      <c r="D38" s="1" t="b">
        <f t="shared" si="14"/>
        <v>0</v>
      </c>
      <c r="E38" s="2" t="str">
        <f t="shared" si="9"/>
        <v xml:space="preserve">Public Property Get ChangeType() As String
    ChangeType = pChangeType
End Property
Public Property Let ChangeType(NewValue As String)
    pChangeType = NewValue
End Property
</v>
      </c>
      <c r="F38" s="1" t="b">
        <v>0</v>
      </c>
      <c r="H38" s="1" t="str">
        <f t="shared" si="10"/>
        <v xml:space="preserve">    result.ChangeType = ChangeType</v>
      </c>
      <c r="I38" s="1" t="str">
        <f t="shared" si="11"/>
        <v xml:space="preserve">        Optional ByVal ChangeType As String, _</v>
      </c>
    </row>
    <row r="39" spans="1:9" ht="19.5" customHeight="1">
      <c r="A39" s="1" t="s">
        <v>8</v>
      </c>
      <c r="B39" s="1" t="str">
        <f t="shared" si="12"/>
        <v>ObjectName</v>
      </c>
      <c r="C39" s="1" t="str">
        <f t="shared" si="13"/>
        <v>String</v>
      </c>
      <c r="D39" s="1" t="b">
        <f t="shared" si="14"/>
        <v>0</v>
      </c>
      <c r="E39" s="2" t="str">
        <f t="shared" si="9"/>
        <v xml:space="preserve">Public Property Get ObjectName() As String
    ObjectName = pObjectName
End Property
Public Property Let ObjectName(NewValue As String)
    pObjectName = NewValue
End Property
</v>
      </c>
      <c r="F39" s="1" t="b">
        <v>0</v>
      </c>
      <c r="H39" s="1" t="str">
        <f t="shared" si="10"/>
        <v xml:space="preserve">    result.ObjectName = ObjectName</v>
      </c>
      <c r="I39" s="1" t="str">
        <f t="shared" si="11"/>
        <v xml:space="preserve">        Optional ByVal ObjectName As String, _</v>
      </c>
    </row>
    <row r="40" spans="1:9" ht="19.5" customHeight="1">
      <c r="A40" s="1" t="s">
        <v>34</v>
      </c>
      <c r="B40" s="1" t="str">
        <f t="shared" si="12"/>
        <v>ObjectType</v>
      </c>
      <c r="C40" s="1" t="str">
        <f t="shared" si="13"/>
        <v>String</v>
      </c>
      <c r="D40" s="1" t="b">
        <f t="shared" si="14"/>
        <v>0</v>
      </c>
      <c r="E40" s="2" t="str">
        <f t="shared" si="9"/>
        <v xml:space="preserve">Public Property Get ObjectType() As String
    ObjectType = pObjectType
End Property
Public Property Let ObjectType(NewValue As String)
    pObjectType = NewValue
End Property
</v>
      </c>
      <c r="F40" s="1" t="b">
        <v>0</v>
      </c>
      <c r="H40" s="1" t="str">
        <f t="shared" si="10"/>
        <v xml:space="preserve">    result.ObjectType = ObjectType</v>
      </c>
      <c r="I40" s="1" t="str">
        <f t="shared" si="11"/>
        <v xml:space="preserve">        Optional ByVal ObjectType As String, _</v>
      </c>
    </row>
    <row r="41" spans="1:9" ht="19.5" customHeight="1">
      <c r="A41" s="1" t="s">
        <v>35</v>
      </c>
      <c r="B41" s="1" t="str">
        <f t="shared" si="12"/>
        <v>IpAddressOrRange</v>
      </c>
      <c r="C41" s="1" t="str">
        <f t="shared" si="13"/>
        <v>String</v>
      </c>
      <c r="D41" s="1" t="b">
        <f t="shared" si="14"/>
        <v>0</v>
      </c>
      <c r="E41" s="2" t="str">
        <f t="shared" si="9"/>
        <v xml:space="preserve">Public Property Get IpAddressOrRange() As String
    IpAddressOrRange = pIpAddressOrRange
End Property
Public Property Let IpAddressOrRange(NewValue As String)
    pIpAddressOrRange = NewValue
End Property
</v>
      </c>
      <c r="F41" s="1" t="b">
        <v>0</v>
      </c>
      <c r="H41" s="1" t="str">
        <f t="shared" si="10"/>
        <v xml:space="preserve">    result.IpAddressOrRange = IpAddressOrRange</v>
      </c>
      <c r="I41" s="1" t="str">
        <f t="shared" si="11"/>
        <v xml:space="preserve">        Optional ByVal IpAddressOrRange As String, _</v>
      </c>
    </row>
    <row r="42" spans="1:9" ht="19.5" customHeight="1">
      <c r="A42" s="1" t="s">
        <v>36</v>
      </c>
      <c r="B42" s="1" t="str">
        <f t="shared" si="12"/>
        <v>MaskLength</v>
      </c>
      <c r="C42" s="1" t="str">
        <f t="shared" si="13"/>
        <v>String</v>
      </c>
      <c r="D42" s="1" t="b">
        <f t="shared" si="14"/>
        <v>0</v>
      </c>
      <c r="E42" s="2" t="str">
        <f t="shared" si="9"/>
        <v xml:space="preserve">Public Property Get MaskLength() As String
    MaskLength = pMaskLength
End Property
Public Property Let MaskLength(NewValue As String)
    pMaskLength = NewValue
End Property
</v>
      </c>
      <c r="F42" s="1" t="b">
        <v>0</v>
      </c>
      <c r="H42" s="1" t="str">
        <f t="shared" si="10"/>
        <v xml:space="preserve">    result.MaskLength = MaskLength</v>
      </c>
      <c r="I42" s="1" t="str">
        <f t="shared" si="11"/>
        <v xml:space="preserve">        Optional ByVal MaskLength As String, _</v>
      </c>
    </row>
    <row r="43" spans="1:9" ht="19.5" customHeight="1">
      <c r="B43" s="1" t="e">
        <f t="shared" si="12"/>
        <v>#VALUE!</v>
      </c>
      <c r="C43" s="1" t="e">
        <f t="shared" si="13"/>
        <v>#VALUE!</v>
      </c>
      <c r="D43" s="1" t="e">
        <f t="shared" si="14"/>
        <v>#VALUE!</v>
      </c>
      <c r="E43" s="2" t="e">
        <f t="shared" si="9"/>
        <v>#VALUE!</v>
      </c>
      <c r="F43" s="1" t="b">
        <v>0</v>
      </c>
      <c r="H43" s="1" t="e">
        <f t="shared" si="10"/>
        <v>#VALUE!</v>
      </c>
      <c r="I43" s="1" t="e">
        <f t="shared" si="11"/>
        <v>#VALUE!</v>
      </c>
    </row>
    <row r="44" spans="1:9" ht="19.5" customHeight="1">
      <c r="A44" s="1" t="s">
        <v>7</v>
      </c>
      <c r="B44" s="1" t="str">
        <f t="shared" si="12"/>
        <v>ChangeType</v>
      </c>
      <c r="C44" s="1" t="str">
        <f t="shared" si="13"/>
        <v>String</v>
      </c>
      <c r="D44" s="1" t="b">
        <f t="shared" si="14"/>
        <v>0</v>
      </c>
      <c r="E44" s="2" t="str">
        <f t="shared" si="9"/>
        <v xml:space="preserve">Public Property Get ChangeType() As String
    ChangeType = pChangeType
End Property
Public Property Let ChangeType(NewValue As String)
    pChangeType = NewValue
End Property
</v>
      </c>
      <c r="F44" s="1" t="b">
        <v>0</v>
      </c>
      <c r="H44" s="1" t="str">
        <f t="shared" si="10"/>
        <v xml:space="preserve">    result.ChangeType = ChangeType</v>
      </c>
      <c r="I44" s="1" t="str">
        <f t="shared" si="11"/>
        <v xml:space="preserve">        Optional ByVal ChangeType As String, _</v>
      </c>
    </row>
    <row r="45" spans="1:9" ht="19.5" customHeight="1">
      <c r="A45" s="1" t="s">
        <v>37</v>
      </c>
      <c r="B45" s="1" t="str">
        <f t="shared" si="12"/>
        <v>GroupName</v>
      </c>
      <c r="C45" s="1" t="str">
        <f t="shared" si="13"/>
        <v>String</v>
      </c>
      <c r="D45" s="1" t="b">
        <f t="shared" si="14"/>
        <v>0</v>
      </c>
      <c r="E45" s="2" t="str">
        <f t="shared" si="9"/>
        <v xml:space="preserve">Public Property Get GroupName() As String
    GroupName = pGroupName
End Property
Public Property Let GroupName(NewValue As String)
    pGroupName = NewValue
End Property
</v>
      </c>
      <c r="F45" s="1" t="b">
        <v>0</v>
      </c>
      <c r="H45" s="1" t="str">
        <f t="shared" si="10"/>
        <v xml:space="preserve">    result.GroupName = GroupName</v>
      </c>
      <c r="I45" s="1" t="str">
        <f t="shared" si="11"/>
        <v xml:space="preserve">        Optional ByVal GroupName As String, _</v>
      </c>
    </row>
    <row r="46" spans="1:9" ht="19.5" customHeight="1">
      <c r="A46" s="1" t="s">
        <v>38</v>
      </c>
      <c r="B46" s="1" t="str">
        <f t="shared" si="12"/>
        <v>MemberName</v>
      </c>
      <c r="C46" s="1" t="str">
        <f t="shared" si="13"/>
        <v>String</v>
      </c>
      <c r="D46" s="1" t="b">
        <f t="shared" si="14"/>
        <v>0</v>
      </c>
      <c r="E46" s="2" t="str">
        <f t="shared" si="9"/>
        <v xml:space="preserve">Public Property Get MemberName() As String
    MemberName = pMemberName
End Property
Public Property Let MemberName(NewValue As String)
    pMemberName = NewValue
End Property
</v>
      </c>
      <c r="F46" s="1" t="b">
        <v>0</v>
      </c>
      <c r="H46" s="1" t="str">
        <f t="shared" si="10"/>
        <v xml:space="preserve">    result.MemberName = MemberName</v>
      </c>
      <c r="I46" s="1" t="str">
        <f t="shared" si="11"/>
        <v xml:space="preserve">        Optional ByVal MemberName As String, _</v>
      </c>
    </row>
    <row r="47" spans="1:9" ht="19.5" customHeight="1">
      <c r="B47" s="1" t="e">
        <f t="shared" si="12"/>
        <v>#VALUE!</v>
      </c>
      <c r="C47" s="1" t="e">
        <f t="shared" si="13"/>
        <v>#VALUE!</v>
      </c>
      <c r="D47" s="1" t="e">
        <f t="shared" si="14"/>
        <v>#VALUE!</v>
      </c>
      <c r="E47" s="2" t="e">
        <f t="shared" si="9"/>
        <v>#VALUE!</v>
      </c>
      <c r="F47" s="1" t="b">
        <v>0</v>
      </c>
      <c r="H47" s="1" t="e">
        <f t="shared" si="10"/>
        <v>#VALUE!</v>
      </c>
      <c r="I47" s="1" t="e">
        <f t="shared" si="11"/>
        <v>#VALUE!</v>
      </c>
    </row>
    <row r="48" spans="1:9" ht="19.5" customHeight="1">
      <c r="A48" s="1" t="s">
        <v>7</v>
      </c>
      <c r="B48" s="1" t="str">
        <f t="shared" si="12"/>
        <v>ChangeType</v>
      </c>
      <c r="C48" s="1" t="str">
        <f t="shared" si="13"/>
        <v>String</v>
      </c>
      <c r="D48" s="1" t="b">
        <f t="shared" si="14"/>
        <v>0</v>
      </c>
      <c r="E48" s="2" t="str">
        <f t="shared" si="9"/>
        <v xml:space="preserve">Public Property Get ChangeType() As String
    ChangeType = pChangeType
End Property
Public Property Let ChangeType(NewValue As String)
    pChangeType = NewValue
End Property
</v>
      </c>
      <c r="F48" s="1" t="b">
        <v>0</v>
      </c>
      <c r="H48" s="1" t="str">
        <f t="shared" si="10"/>
        <v xml:space="preserve">    result.ChangeType = ChangeType</v>
      </c>
      <c r="I48" s="1" t="str">
        <f t="shared" si="11"/>
        <v xml:space="preserve">        Optional ByVal ChangeType As String, _</v>
      </c>
    </row>
    <row r="49" spans="1:9" ht="19.5" customHeight="1">
      <c r="A49" s="1" t="s">
        <v>8</v>
      </c>
      <c r="B49" s="1" t="str">
        <f t="shared" si="12"/>
        <v>ObjectName</v>
      </c>
      <c r="C49" s="1" t="str">
        <f t="shared" si="13"/>
        <v>String</v>
      </c>
      <c r="D49" s="1" t="b">
        <f t="shared" si="14"/>
        <v>0</v>
      </c>
      <c r="E49" s="2" t="str">
        <f t="shared" si="9"/>
        <v xml:space="preserve">Public Property Get ObjectName() As String
    ObjectName = pObjectName
End Property
Public Property Let ObjectName(NewValue As String)
    pObjectName = NewValue
End Property
</v>
      </c>
      <c r="F49" s="1" t="b">
        <v>0</v>
      </c>
      <c r="H49" s="1" t="str">
        <f t="shared" si="10"/>
        <v xml:space="preserve">    result.ObjectName = ObjectName</v>
      </c>
      <c r="I49" s="1" t="str">
        <f t="shared" si="11"/>
        <v xml:space="preserve">        Optional ByVal ObjectName As String, _</v>
      </c>
    </row>
    <row r="50" spans="1:9" ht="19.5" customHeight="1">
      <c r="A50" s="1" t="s">
        <v>39</v>
      </c>
      <c r="B50" s="1" t="str">
        <f t="shared" si="12"/>
        <v>Protocol</v>
      </c>
      <c r="C50" s="1" t="str">
        <f t="shared" si="13"/>
        <v>String</v>
      </c>
      <c r="D50" s="1" t="b">
        <f t="shared" si="14"/>
        <v>0</v>
      </c>
      <c r="E50" s="2" t="str">
        <f t="shared" si="9"/>
        <v xml:space="preserve">Public Property Get Protocol() As String
    Protocol = pProtocol
End Property
Public Property Let Protocol(NewValue As String)
    pProtocol = NewValue
End Property
</v>
      </c>
      <c r="F50" s="1" t="b">
        <v>0</v>
      </c>
      <c r="H50" s="1" t="str">
        <f t="shared" si="10"/>
        <v xml:space="preserve">    result.Protocol = Protocol</v>
      </c>
      <c r="I50" s="1" t="str">
        <f t="shared" si="11"/>
        <v xml:space="preserve">        Optional ByVal Protocol As String, _</v>
      </c>
    </row>
    <row r="51" spans="1:9" ht="19.5" customHeight="1">
      <c r="A51" s="1" t="s">
        <v>40</v>
      </c>
      <c r="B51" s="1" t="str">
        <f>MID(A51,10,FIND(" ",A51,10)-10)</f>
        <v>SourcePortNumber</v>
      </c>
      <c r="C51" s="1" t="str">
        <f t="shared" si="13"/>
        <v>String</v>
      </c>
      <c r="D51" s="1" t="b">
        <f t="shared" si="14"/>
        <v>0</v>
      </c>
      <c r="E51" s="2" t="str">
        <f t="shared" si="9"/>
        <v xml:space="preserve">Public Property Get SourcePortNumber() As String
    SourcePortNumber = pSourcePortNumber
End Property
Public Property Let SourcePortNumber(NewValue As String)
    pSourcePortNumber = NewValue
End Property
</v>
      </c>
      <c r="F51" s="1" t="b">
        <v>0</v>
      </c>
      <c r="H51" s="1" t="str">
        <f t="shared" si="10"/>
        <v xml:space="preserve">    result.SourcePortNumber = SourcePortNumber</v>
      </c>
      <c r="I51" s="1" t="str">
        <f t="shared" si="11"/>
        <v xml:space="preserve">        Optional ByVal SourcePortNumber As String, _</v>
      </c>
    </row>
    <row r="52" spans="1:9" ht="19.5" customHeight="1">
      <c r="A52" s="1" t="s">
        <v>41</v>
      </c>
      <c r="B52" s="1" t="str">
        <f t="shared" si="12"/>
        <v>DestinationPortNumber</v>
      </c>
      <c r="C52" s="1" t="str">
        <f t="shared" si="13"/>
        <v>String</v>
      </c>
      <c r="D52" s="1" t="b">
        <f t="shared" si="14"/>
        <v>0</v>
      </c>
      <c r="E52" s="2" t="str">
        <f t="shared" si="9"/>
        <v xml:space="preserve">Public Property Get DestinationPortNumber() As String
    DestinationPortNumber = pDestinationPortNumber
End Property
Public Property Let DestinationPortNumber(NewValue As String)
    pDestinationPortNumber = NewValue
End Property
</v>
      </c>
      <c r="F52" s="1" t="b">
        <v>0</v>
      </c>
      <c r="H52" s="1" t="str">
        <f t="shared" si="10"/>
        <v xml:space="preserve">    result.DestinationPortNumber = DestinationPortNumber</v>
      </c>
      <c r="I52" s="1" t="str">
        <f t="shared" si="11"/>
        <v xml:space="preserve">        Optional ByVal DestinationPortNumber As String, _</v>
      </c>
    </row>
    <row r="53" spans="1:9" ht="19.5" customHeight="1">
      <c r="B53" s="1" t="e">
        <f t="shared" si="12"/>
        <v>#VALUE!</v>
      </c>
      <c r="C53" s="1" t="e">
        <f t="shared" si="13"/>
        <v>#VALUE!</v>
      </c>
      <c r="D53" s="1" t="e">
        <f t="shared" si="14"/>
        <v>#VALUE!</v>
      </c>
      <c r="E53" s="2" t="e">
        <f t="shared" si="9"/>
        <v>#VALUE!</v>
      </c>
      <c r="F53" s="1" t="b">
        <v>0</v>
      </c>
      <c r="H53" s="1" t="e">
        <f t="shared" si="10"/>
        <v>#VALUE!</v>
      </c>
      <c r="I53" s="1" t="e">
        <f t="shared" si="11"/>
        <v>#VALUE!</v>
      </c>
    </row>
    <row r="54" spans="1:9" ht="19.5" customHeight="1">
      <c r="A54" s="1" t="s">
        <v>7</v>
      </c>
      <c r="B54" s="1" t="str">
        <f t="shared" si="12"/>
        <v>ChangeType</v>
      </c>
      <c r="C54" s="1" t="str">
        <f t="shared" si="13"/>
        <v>String</v>
      </c>
      <c r="D54" s="1" t="b">
        <f t="shared" si="14"/>
        <v>0</v>
      </c>
      <c r="E54" s="2" t="str">
        <f t="shared" si="9"/>
        <v xml:space="preserve">Public Property Get ChangeType() As String
    ChangeType = pChangeType
End Property
Public Property Let ChangeType(NewValue As String)
    pChangeType = NewValue
End Property
</v>
      </c>
      <c r="F54" s="1" t="b">
        <v>0</v>
      </c>
      <c r="H54" s="1" t="str">
        <f t="shared" si="10"/>
        <v xml:space="preserve">    result.ChangeType = ChangeType</v>
      </c>
      <c r="I54" s="1" t="str">
        <f t="shared" si="11"/>
        <v xml:space="preserve">        Optional ByVal ChangeType As String, _</v>
      </c>
    </row>
    <row r="55" spans="1:9" ht="19.5" customHeight="1">
      <c r="A55" s="1" t="s">
        <v>8</v>
      </c>
      <c r="B55" s="1" t="str">
        <f t="shared" si="12"/>
        <v>ObjectName</v>
      </c>
      <c r="C55" s="1" t="str">
        <f t="shared" si="13"/>
        <v>String</v>
      </c>
      <c r="D55" s="1" t="b">
        <f t="shared" si="14"/>
        <v>0</v>
      </c>
      <c r="E55" s="2" t="str">
        <f t="shared" si="9"/>
        <v xml:space="preserve">Public Property Get ObjectName() As String
    ObjectName = pObjectName
End Property
Public Property Let ObjectName(NewValue As String)
    pObjectName = NewValue
End Property
</v>
      </c>
      <c r="F55" s="1" t="b">
        <v>0</v>
      </c>
      <c r="H55" s="1" t="str">
        <f t="shared" si="10"/>
        <v xml:space="preserve">    result.ObjectName = ObjectName</v>
      </c>
      <c r="I55" s="1" t="str">
        <f t="shared" si="11"/>
        <v xml:space="preserve">        Optional ByVal ObjectName As String, _</v>
      </c>
    </row>
    <row r="56" spans="1:9" ht="19.5" customHeight="1">
      <c r="A56" s="1" t="s">
        <v>42</v>
      </c>
      <c r="B56" s="1" t="str">
        <f t="shared" ref="B56:B62" si="15">MID(A56,10,FIND(" ",A56,10)-10)</f>
        <v>DestinationAddress</v>
      </c>
      <c r="C56" s="1" t="str">
        <f t="shared" ref="C56:C62" si="16">RIGHT(A56,LEN(A56)-FIND(" ",A56,10)-3)</f>
        <v>String</v>
      </c>
      <c r="D56" s="1" t="b">
        <f t="shared" ref="D56:D62" si="17">NOT(OR(C56="",C56="Integer",C56="Long",C56="Currency",C56="Single",C56="Double",C56="String",C56="Date",C56="Boolean",C56="Variant"))</f>
        <v>0</v>
      </c>
      <c r="E56" s="2" t="str">
        <f t="shared" si="9"/>
        <v xml:space="preserve">Public Property Get DestinationAddress() As String
    DestinationAddress = pDestinationAddress
End Property
Public Property Let DestinationAddress(NewValue As String)
    pDestinationAddress = NewValue
End Property
</v>
      </c>
      <c r="F56" s="1" t="b">
        <v>0</v>
      </c>
      <c r="H56" s="1" t="str">
        <f t="shared" ref="H56:H62" si="18">"    "&amp;IF(D56,"Set ","")&amp;"result."&amp;B56&amp;" = "&amp;B56</f>
        <v xml:space="preserve">    result.DestinationAddress = DestinationAddress</v>
      </c>
      <c r="I56" s="1" t="str">
        <f t="shared" ref="I56:I62" si="19">"        Optional ByVal "&amp;B56&amp;" As "&amp;C56&amp;", _"</f>
        <v xml:space="preserve">        Optional ByVal DestinationAddress As String, _</v>
      </c>
    </row>
    <row r="57" spans="1:9" ht="19.5" customHeight="1">
      <c r="A57" s="1" t="s">
        <v>43</v>
      </c>
      <c r="B57" s="1" t="str">
        <f t="shared" si="15"/>
        <v>NextHop</v>
      </c>
      <c r="C57" s="1" t="str">
        <f t="shared" si="16"/>
        <v>String</v>
      </c>
      <c r="D57" s="1" t="b">
        <f t="shared" si="17"/>
        <v>0</v>
      </c>
      <c r="E57" s="2" t="str">
        <f t="shared" si="9"/>
        <v xml:space="preserve">Public Property Get NextHop() As String
    NextHop = pNextHop
End Property
Public Property Let NextHop(NewValue As String)
    pNextHop = NewValue
End Property
</v>
      </c>
      <c r="F57" s="1" t="b">
        <v>0</v>
      </c>
      <c r="H57" s="1" t="str">
        <f t="shared" si="18"/>
        <v xml:space="preserve">    result.NextHop = NextHop</v>
      </c>
      <c r="I57" s="1" t="str">
        <f t="shared" si="19"/>
        <v xml:space="preserve">        Optional ByVal NextHop As String, _</v>
      </c>
    </row>
    <row r="58" spans="1:9" ht="19.5" customHeight="1">
      <c r="A58" s="1" t="s">
        <v>44</v>
      </c>
      <c r="B58" s="1" t="str">
        <f t="shared" si="15"/>
        <v>Metric</v>
      </c>
      <c r="C58" s="1" t="str">
        <f t="shared" si="16"/>
        <v>String</v>
      </c>
      <c r="D58" s="1" t="b">
        <f t="shared" si="17"/>
        <v>0</v>
      </c>
      <c r="E58" s="2" t="str">
        <f t="shared" si="9"/>
        <v xml:space="preserve">Public Property Get Metric() As String
    Metric = pMetric
End Property
Public Property Let Metric(NewValue As String)
    pMetric = NewValue
End Property
</v>
      </c>
      <c r="F58" s="1" t="b">
        <v>0</v>
      </c>
      <c r="H58" s="1" t="str">
        <f t="shared" si="18"/>
        <v xml:space="preserve">    result.Metric = Metric</v>
      </c>
      <c r="I58" s="1" t="str">
        <f t="shared" si="19"/>
        <v xml:space="preserve">        Optional ByVal Metric As String, _</v>
      </c>
    </row>
    <row r="59" spans="1:9" ht="19.5" customHeight="1">
      <c r="A59" s="1" t="s">
        <v>45</v>
      </c>
      <c r="B59" s="1" t="str">
        <f t="shared" si="15"/>
        <v>OutputInterface</v>
      </c>
      <c r="C59" s="1" t="str">
        <f t="shared" si="16"/>
        <v>String</v>
      </c>
      <c r="D59" s="1" t="b">
        <f t="shared" si="17"/>
        <v>0</v>
      </c>
      <c r="E59" s="2" t="str">
        <f t="shared" si="9"/>
        <v xml:space="preserve">Public Property Get OutputInterface() As String
    OutputInterface = pOutputInterface
End Property
Public Property Let OutputInterface(NewValue As String)
    pOutputInterface = NewValue
End Property
</v>
      </c>
      <c r="F59" s="1" t="b">
        <v>0</v>
      </c>
      <c r="H59" s="1" t="str">
        <f t="shared" si="18"/>
        <v xml:space="preserve">    result.OutputInterface = OutputInterface</v>
      </c>
      <c r="I59" s="1" t="str">
        <f t="shared" si="19"/>
        <v xml:space="preserve">        Optional ByVal OutputInterface As String, _</v>
      </c>
    </row>
    <row r="60" spans="1:9" ht="19.5" customHeight="1">
      <c r="A60" s="1" t="s">
        <v>12</v>
      </c>
      <c r="B60" s="1" t="str">
        <f t="shared" si="15"/>
        <v>ToZone</v>
      </c>
      <c r="C60" s="1" t="str">
        <f t="shared" si="16"/>
        <v>String</v>
      </c>
      <c r="D60" s="1" t="b">
        <f t="shared" si="17"/>
        <v>0</v>
      </c>
      <c r="E60" s="2" t="str">
        <f t="shared" si="9"/>
        <v xml:space="preserve">Public Property Get ToZone() As String
    ToZone = pToZone
End Property
Public Property Let ToZone(NewValue As String)
    pToZone = NewValue
End Property
</v>
      </c>
      <c r="F60" s="1" t="b">
        <v>0</v>
      </c>
      <c r="H60" s="1" t="str">
        <f t="shared" si="18"/>
        <v xml:space="preserve">    result.ToZone = ToZone</v>
      </c>
      <c r="I60" s="1" t="str">
        <f t="shared" si="19"/>
        <v xml:space="preserve">        Optional ByVal ToZone As String, _</v>
      </c>
    </row>
    <row r="61" spans="1:9" ht="19.5" customHeight="1">
      <c r="A61" s="1" t="s">
        <v>13</v>
      </c>
      <c r="B61" s="1" t="str">
        <f t="shared" si="15"/>
        <v>ToVlan</v>
      </c>
      <c r="C61" s="1" t="str">
        <f t="shared" si="16"/>
        <v>String</v>
      </c>
      <c r="D61" s="1" t="b">
        <f t="shared" si="17"/>
        <v>0</v>
      </c>
      <c r="E61" s="2" t="str">
        <f t="shared" si="9"/>
        <v xml:space="preserve">Public Property Get ToVlan() As String
    ToVlan = pToVlan
End Property
Public Property Let ToVlan(NewValue As String)
    pToVlan = NewValue
End Property
</v>
      </c>
      <c r="F61" s="1" t="b">
        <v>0</v>
      </c>
      <c r="H61" s="1" t="str">
        <f t="shared" si="18"/>
        <v xml:space="preserve">    result.ToVlan = ToVlan</v>
      </c>
      <c r="I61" s="1" t="str">
        <f t="shared" si="19"/>
        <v xml:space="preserve">        Optional ByVal ToVlan As String, _</v>
      </c>
    </row>
    <row r="62" spans="1:9" ht="19.5" customHeight="1">
      <c r="A62" s="1" t="s">
        <v>18</v>
      </c>
      <c r="B62" s="1" t="str">
        <f t="shared" si="15"/>
        <v>Description</v>
      </c>
      <c r="C62" s="1" t="str">
        <f t="shared" si="16"/>
        <v>String</v>
      </c>
      <c r="D62" s="1" t="b">
        <f t="shared" si="17"/>
        <v>0</v>
      </c>
      <c r="E62" s="2" t="str">
        <f t="shared" si="9"/>
        <v xml:space="preserve">Public Property Get Description() As String
    Description = pDescription
End Property
Public Property Let Description(NewValue As String)
    pDescription = NewValue
End Property
</v>
      </c>
      <c r="F62" s="1" t="b">
        <v>0</v>
      </c>
      <c r="H62" s="1" t="str">
        <f t="shared" si="18"/>
        <v xml:space="preserve">    result.Description = Description</v>
      </c>
      <c r="I62" s="1" t="str">
        <f t="shared" si="19"/>
        <v xml:space="preserve">        Optional ByVal Description As String, _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kaosun</dc:creator>
  <cp:lastModifiedBy>明久 高村</cp:lastModifiedBy>
  <dcterms:created xsi:type="dcterms:W3CDTF">2015-06-05T18:19:34Z</dcterms:created>
  <dcterms:modified xsi:type="dcterms:W3CDTF">2024-12-25T13:17:31Z</dcterms:modified>
</cp:coreProperties>
</file>